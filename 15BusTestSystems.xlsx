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cuments\Guilherme\UESC\Engenharia Elétrica\10º Semestre\TCC II\"/>
    </mc:Choice>
  </mc:AlternateContent>
  <xr:revisionPtr revIDLastSave="0" documentId="13_ncr:1_{8DCAAAAA-2E96-4180-8A80-157B1C22FC26}" xr6:coauthVersionLast="45" xr6:coauthVersionMax="45" xr10:uidLastSave="{00000000-0000-0000-0000-000000000000}"/>
  <bookViews>
    <workbookView xWindow="-120" yWindow="-120" windowWidth="29040" windowHeight="15840" xr2:uid="{12D943A7-DDDD-4BD9-A215-602286CA74B5}"/>
  </bookViews>
  <sheets>
    <sheet name="Impedance_pu" sheetId="2" r:id="rId1"/>
    <sheet name="Impedance_ohm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2" i="1"/>
  <c r="C2" i="1"/>
  <c r="C71" i="1"/>
  <c r="C70" i="1"/>
  <c r="C69" i="1"/>
  <c r="C68" i="1"/>
  <c r="C67" i="1"/>
  <c r="C66" i="1"/>
  <c r="C64" i="1"/>
  <c r="C61" i="1"/>
  <c r="C58" i="1"/>
  <c r="C55" i="1"/>
  <c r="C52" i="1"/>
  <c r="C49" i="1"/>
  <c r="C46" i="1"/>
  <c r="C43" i="1"/>
  <c r="C40" i="1"/>
  <c r="C37" i="1"/>
  <c r="C34" i="1"/>
  <c r="C31" i="1"/>
  <c r="C28" i="1"/>
  <c r="C25" i="1"/>
  <c r="C22" i="1"/>
  <c r="C19" i="1"/>
  <c r="C16" i="1"/>
  <c r="C13" i="1"/>
  <c r="C10" i="1"/>
  <c r="C7" i="1"/>
  <c r="C4" i="1"/>
  <c r="C3" i="1"/>
</calcChain>
</file>

<file path=xl/sharedStrings.xml><?xml version="1.0" encoding="utf-8"?>
<sst xmlns="http://schemas.openxmlformats.org/spreadsheetml/2006/main" count="302" uniqueCount="70">
  <si>
    <t>Bus in</t>
  </si>
  <si>
    <t>Bus out</t>
  </si>
  <si>
    <t>R21</t>
  </si>
  <si>
    <t>R22</t>
  </si>
  <si>
    <t>R29</t>
  </si>
  <si>
    <t>R30</t>
  </si>
  <si>
    <t>R18</t>
  </si>
  <si>
    <t>R17</t>
  </si>
  <si>
    <t>R33</t>
  </si>
  <si>
    <t>R34</t>
  </si>
  <si>
    <t>R24</t>
  </si>
  <si>
    <t>R23</t>
  </si>
  <si>
    <t>R31</t>
  </si>
  <si>
    <t>R32</t>
  </si>
  <si>
    <t>R28</t>
  </si>
  <si>
    <t>R27</t>
  </si>
  <si>
    <t>R25</t>
  </si>
  <si>
    <t>R26</t>
  </si>
  <si>
    <t>R16</t>
  </si>
  <si>
    <t>R15</t>
  </si>
  <si>
    <t>R41</t>
  </si>
  <si>
    <t>R42</t>
  </si>
  <si>
    <t>R12</t>
  </si>
  <si>
    <t>R11</t>
  </si>
  <si>
    <t>R14</t>
  </si>
  <si>
    <t>R13</t>
  </si>
  <si>
    <t>R35</t>
  </si>
  <si>
    <t>R36</t>
  </si>
  <si>
    <t>R3</t>
  </si>
  <si>
    <t>R4</t>
  </si>
  <si>
    <t>R2</t>
  </si>
  <si>
    <t>R1</t>
  </si>
  <si>
    <t>R40</t>
  </si>
  <si>
    <t>R39</t>
  </si>
  <si>
    <t>R8</t>
  </si>
  <si>
    <t>R7</t>
  </si>
  <si>
    <t>R20</t>
  </si>
  <si>
    <t>R19</t>
  </si>
  <si>
    <t>R10</t>
  </si>
  <si>
    <t>R9</t>
  </si>
  <si>
    <t>R37</t>
  </si>
  <si>
    <t>R38</t>
  </si>
  <si>
    <t>R5</t>
  </si>
  <si>
    <t>R6</t>
  </si>
  <si>
    <t>Impedance (p.u.)</t>
  </si>
  <si>
    <t>Impedance (Ohm)</t>
  </si>
  <si>
    <t>0</t>
  </si>
  <si>
    <t>1.9+4.6j</t>
  </si>
  <si>
    <t>0.95+2.3j</t>
  </si>
  <si>
    <t>1.425+3.45j</t>
  </si>
  <si>
    <t>2j</t>
  </si>
  <si>
    <t>0.242535625+0.9701425j</t>
  </si>
  <si>
    <t/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</si>
  <si>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</si>
  <si>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</si>
  <si>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</si>
  <si>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</si>
  <si>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</si>
  <si>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</si>
  <si>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</si>
  <si>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</si>
  <si>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</si>
  <si>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</si>
  <si>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</si>
  <si>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N12</t>
  </si>
  <si>
    <t>N11</t>
  </si>
  <si>
    <t>N13</t>
  </si>
  <si>
    <t>N15</t>
  </si>
  <si>
    <t>N14</t>
  </si>
  <si>
    <t>impedance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</si>
</sst>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quotePrefix="1"/>
    <xf numFmtId="1" fontId="1" fillId="0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06AF-4B32-4BE8-B8B1-3E26C068E6C1}">
  <dimension ref="A1:I71"/>
  <sheetViews>
    <sheetView tabSelected="1" topLeftCell="A32" workbookViewId="0">
      <selection activeCell="A47" sqref="A47"/>
    </sheetView>
  </sheetViews>
  <sheetFormatPr defaultRowHeight="15" x14ac:dyDescent="0.25"/>
  <cols>
    <col min="1" max="2" width="9.140625" style="8"/>
    <col min="3" max="3" width="22.85546875" customWidth="1"/>
  </cols>
  <sheetData>
    <row r="1" spans="1:9" x14ac:dyDescent="0.25">
      <c r="A1" s="7" t="s">
        <v>0</v>
      </c>
      <c r="B1" s="7" t="s">
        <v>1</v>
      </c>
      <c r="C1" s="2" t="s">
        <v>69</v>
      </c>
      <c r="D1" s="10"/>
    </row>
    <row r="2" spans="1:9" x14ac:dyDescent="0.25">
      <c r="A2" s="9" t="s">
        <v>53</v>
      </c>
      <c r="B2" s="9" t="s">
        <v>54</v>
      </c>
      <c r="C2" s="5" t="s">
        <v>51</v>
      </c>
    </row>
    <row r="3" spans="1:9" x14ac:dyDescent="0.25">
      <c r="A3" s="9" t="s">
        <v>54</v>
      </c>
      <c r="B3" s="9" t="s">
        <v>2</v>
      </c>
      <c r="C3" s="5" t="s">
        <v>46</v>
      </c>
    </row>
    <row r="4" spans="1:9" x14ac:dyDescent="0.25">
      <c r="A4" s="9" t="s">
        <v>2</v>
      </c>
      <c r="B4" s="9" t="s">
        <v>3</v>
      </c>
      <c r="C4" s="5" t="s">
        <v>48</v>
      </c>
    </row>
    <row r="5" spans="1:9" x14ac:dyDescent="0.25">
      <c r="A5" s="9" t="s">
        <v>3</v>
      </c>
      <c r="B5" s="9" t="s">
        <v>55</v>
      </c>
      <c r="C5" s="5" t="s">
        <v>46</v>
      </c>
    </row>
    <row r="6" spans="1:9" x14ac:dyDescent="0.25">
      <c r="A6" s="9" t="s">
        <v>54</v>
      </c>
      <c r="B6" s="9" t="s">
        <v>4</v>
      </c>
      <c r="C6" s="5" t="s">
        <v>46</v>
      </c>
    </row>
    <row r="7" spans="1:9" x14ac:dyDescent="0.25">
      <c r="A7" s="9" t="s">
        <v>4</v>
      </c>
      <c r="B7" s="9" t="s">
        <v>5</v>
      </c>
      <c r="C7" s="5" t="s">
        <v>48</v>
      </c>
    </row>
    <row r="8" spans="1:9" x14ac:dyDescent="0.25">
      <c r="A8" s="9" t="s">
        <v>5</v>
      </c>
      <c r="B8" s="9" t="s">
        <v>56</v>
      </c>
      <c r="C8" s="5" t="s">
        <v>46</v>
      </c>
    </row>
    <row r="9" spans="1:9" x14ac:dyDescent="0.25">
      <c r="A9" s="9" t="s">
        <v>54</v>
      </c>
      <c r="B9" s="9" t="s">
        <v>6</v>
      </c>
      <c r="C9" s="5" t="s">
        <v>46</v>
      </c>
      <c r="I9" s="6" t="s">
        <v>52</v>
      </c>
    </row>
    <row r="10" spans="1:9" x14ac:dyDescent="0.25">
      <c r="A10" s="9" t="s">
        <v>6</v>
      </c>
      <c r="B10" s="9" t="s">
        <v>7</v>
      </c>
      <c r="C10" s="5" t="s">
        <v>49</v>
      </c>
    </row>
    <row r="11" spans="1:9" x14ac:dyDescent="0.25">
      <c r="A11" s="9" t="s">
        <v>7</v>
      </c>
      <c r="B11" s="9" t="s">
        <v>57</v>
      </c>
      <c r="C11" s="5" t="s">
        <v>46</v>
      </c>
    </row>
    <row r="12" spans="1:9" x14ac:dyDescent="0.25">
      <c r="A12" s="9" t="s">
        <v>55</v>
      </c>
      <c r="B12" s="9" t="s">
        <v>8</v>
      </c>
      <c r="C12" s="5" t="s">
        <v>46</v>
      </c>
    </row>
    <row r="13" spans="1:9" x14ac:dyDescent="0.25">
      <c r="A13" s="9" t="s">
        <v>8</v>
      </c>
      <c r="B13" s="9" t="s">
        <v>9</v>
      </c>
      <c r="C13" s="5" t="s">
        <v>48</v>
      </c>
    </row>
    <row r="14" spans="1:9" x14ac:dyDescent="0.25">
      <c r="A14" s="9" t="s">
        <v>9</v>
      </c>
      <c r="B14" s="9" t="s">
        <v>58</v>
      </c>
      <c r="C14" s="5" t="s">
        <v>46</v>
      </c>
    </row>
    <row r="15" spans="1:9" x14ac:dyDescent="0.25">
      <c r="A15" s="9" t="s">
        <v>55</v>
      </c>
      <c r="B15" s="9" t="s">
        <v>10</v>
      </c>
      <c r="C15" s="5" t="s">
        <v>46</v>
      </c>
    </row>
    <row r="16" spans="1:9" x14ac:dyDescent="0.25">
      <c r="A16" s="9" t="s">
        <v>10</v>
      </c>
      <c r="B16" s="9" t="s">
        <v>11</v>
      </c>
      <c r="C16" s="5" t="s">
        <v>47</v>
      </c>
    </row>
    <row r="17" spans="1:3" x14ac:dyDescent="0.25">
      <c r="A17" s="9" t="s">
        <v>11</v>
      </c>
      <c r="B17" s="9" t="s">
        <v>59</v>
      </c>
      <c r="C17" s="5" t="s">
        <v>46</v>
      </c>
    </row>
    <row r="18" spans="1:3" x14ac:dyDescent="0.25">
      <c r="A18" s="9" t="s">
        <v>56</v>
      </c>
      <c r="B18" s="9" t="s">
        <v>12</v>
      </c>
      <c r="C18" s="5" t="s">
        <v>46</v>
      </c>
    </row>
    <row r="19" spans="1:3" x14ac:dyDescent="0.25">
      <c r="A19" s="9" t="s">
        <v>12</v>
      </c>
      <c r="B19" s="9" t="s">
        <v>13</v>
      </c>
      <c r="C19" s="5" t="s">
        <v>47</v>
      </c>
    </row>
    <row r="20" spans="1:3" x14ac:dyDescent="0.25">
      <c r="A20" s="9" t="s">
        <v>13</v>
      </c>
      <c r="B20" s="9" t="s">
        <v>58</v>
      </c>
      <c r="C20" s="5" t="s">
        <v>46</v>
      </c>
    </row>
    <row r="21" spans="1:3" x14ac:dyDescent="0.25">
      <c r="A21" s="9" t="s">
        <v>56</v>
      </c>
      <c r="B21" s="9" t="s">
        <v>14</v>
      </c>
      <c r="C21" s="5" t="s">
        <v>46</v>
      </c>
    </row>
    <row r="22" spans="1:3" x14ac:dyDescent="0.25">
      <c r="A22" s="9" t="s">
        <v>14</v>
      </c>
      <c r="B22" s="9" t="s">
        <v>15</v>
      </c>
      <c r="C22" s="5" t="s">
        <v>48</v>
      </c>
    </row>
    <row r="23" spans="1:3" x14ac:dyDescent="0.25">
      <c r="A23" s="9" t="s">
        <v>15</v>
      </c>
      <c r="B23" s="9" t="s">
        <v>60</v>
      </c>
      <c r="C23" s="5" t="s">
        <v>46</v>
      </c>
    </row>
    <row r="24" spans="1:3" x14ac:dyDescent="0.25">
      <c r="A24" s="9" t="s">
        <v>57</v>
      </c>
      <c r="B24" s="9" t="s">
        <v>16</v>
      </c>
      <c r="C24" s="5" t="s">
        <v>46</v>
      </c>
    </row>
    <row r="25" spans="1:3" x14ac:dyDescent="0.25">
      <c r="A25" s="9" t="s">
        <v>16</v>
      </c>
      <c r="B25" s="9" t="s">
        <v>17</v>
      </c>
      <c r="C25" s="5" t="s">
        <v>49</v>
      </c>
    </row>
    <row r="26" spans="1:3" x14ac:dyDescent="0.25">
      <c r="A26" s="9" t="s">
        <v>17</v>
      </c>
      <c r="B26" s="9" t="s">
        <v>60</v>
      </c>
      <c r="C26" s="5" t="s">
        <v>46</v>
      </c>
    </row>
    <row r="27" spans="1:3" x14ac:dyDescent="0.25">
      <c r="A27" s="9" t="s">
        <v>57</v>
      </c>
      <c r="B27" s="9" t="s">
        <v>18</v>
      </c>
      <c r="C27" s="5" t="s">
        <v>46</v>
      </c>
    </row>
    <row r="28" spans="1:3" x14ac:dyDescent="0.25">
      <c r="A28" s="9" t="s">
        <v>18</v>
      </c>
      <c r="B28" s="9" t="s">
        <v>19</v>
      </c>
      <c r="C28" s="5" t="s">
        <v>47</v>
      </c>
    </row>
    <row r="29" spans="1:3" x14ac:dyDescent="0.25">
      <c r="A29" s="9" t="s">
        <v>19</v>
      </c>
      <c r="B29" s="9" t="s">
        <v>61</v>
      </c>
      <c r="C29" s="5" t="s">
        <v>46</v>
      </c>
    </row>
    <row r="30" spans="1:3" x14ac:dyDescent="0.25">
      <c r="A30" s="9" t="s">
        <v>58</v>
      </c>
      <c r="B30" s="9" t="s">
        <v>20</v>
      </c>
      <c r="C30" s="5" t="s">
        <v>46</v>
      </c>
    </row>
    <row r="31" spans="1:3" x14ac:dyDescent="0.25">
      <c r="A31" s="9" t="s">
        <v>20</v>
      </c>
      <c r="B31" s="9" t="s">
        <v>21</v>
      </c>
      <c r="C31" s="5" t="s">
        <v>47</v>
      </c>
    </row>
    <row r="32" spans="1:3" x14ac:dyDescent="0.25">
      <c r="A32" s="9" t="s">
        <v>21</v>
      </c>
      <c r="B32" s="9" t="s">
        <v>62</v>
      </c>
      <c r="C32" s="5" t="s">
        <v>46</v>
      </c>
    </row>
    <row r="33" spans="1:3" x14ac:dyDescent="0.25">
      <c r="A33" s="9" t="s">
        <v>59</v>
      </c>
      <c r="B33" s="9" t="s">
        <v>22</v>
      </c>
      <c r="C33" s="5" t="s">
        <v>46</v>
      </c>
    </row>
    <row r="34" spans="1:3" x14ac:dyDescent="0.25">
      <c r="A34" s="9" t="s">
        <v>22</v>
      </c>
      <c r="B34" s="9" t="s">
        <v>23</v>
      </c>
      <c r="C34" s="5" t="s">
        <v>48</v>
      </c>
    </row>
    <row r="35" spans="1:3" x14ac:dyDescent="0.25">
      <c r="A35" s="9" t="s">
        <v>23</v>
      </c>
      <c r="B35" s="9" t="s">
        <v>63</v>
      </c>
      <c r="C35" s="5" t="s">
        <v>46</v>
      </c>
    </row>
    <row r="36" spans="1:3" x14ac:dyDescent="0.25">
      <c r="A36" s="9" t="s">
        <v>59</v>
      </c>
      <c r="B36" s="9" t="s">
        <v>24</v>
      </c>
      <c r="C36" s="5" t="s">
        <v>46</v>
      </c>
    </row>
    <row r="37" spans="1:3" x14ac:dyDescent="0.25">
      <c r="A37" s="9" t="s">
        <v>24</v>
      </c>
      <c r="B37" s="9" t="s">
        <v>25</v>
      </c>
      <c r="C37" s="5" t="s">
        <v>49</v>
      </c>
    </row>
    <row r="38" spans="1:3" x14ac:dyDescent="0.25">
      <c r="A38" s="9" t="s">
        <v>25</v>
      </c>
      <c r="B38" s="9" t="s">
        <v>65</v>
      </c>
      <c r="C38" s="5" t="s">
        <v>46</v>
      </c>
    </row>
    <row r="39" spans="1:3" x14ac:dyDescent="0.25">
      <c r="A39" s="9" t="s">
        <v>60</v>
      </c>
      <c r="B39" s="9" t="s">
        <v>26</v>
      </c>
      <c r="C39" s="5" t="s">
        <v>46</v>
      </c>
    </row>
    <row r="40" spans="1:3" x14ac:dyDescent="0.25">
      <c r="A40" s="9" t="s">
        <v>26</v>
      </c>
      <c r="B40" s="9" t="s">
        <v>27</v>
      </c>
      <c r="C40" s="5" t="s">
        <v>49</v>
      </c>
    </row>
    <row r="41" spans="1:3" x14ac:dyDescent="0.25">
      <c r="A41" s="9" t="s">
        <v>27</v>
      </c>
      <c r="B41" s="9" t="s">
        <v>64</v>
      </c>
      <c r="C41" s="5" t="s">
        <v>46</v>
      </c>
    </row>
    <row r="42" spans="1:3" x14ac:dyDescent="0.25">
      <c r="A42" s="9" t="s">
        <v>61</v>
      </c>
      <c r="B42" s="9" t="s">
        <v>28</v>
      </c>
      <c r="C42" s="5" t="s">
        <v>46</v>
      </c>
    </row>
    <row r="43" spans="1:3" x14ac:dyDescent="0.25">
      <c r="A43" s="9" t="s">
        <v>28</v>
      </c>
      <c r="B43" s="9" t="s">
        <v>29</v>
      </c>
      <c r="C43" s="5" t="s">
        <v>48</v>
      </c>
    </row>
    <row r="44" spans="1:3" x14ac:dyDescent="0.25">
      <c r="A44" s="9" t="s">
        <v>29</v>
      </c>
      <c r="B44" s="9" t="s">
        <v>63</v>
      </c>
      <c r="C44" s="5" t="s">
        <v>46</v>
      </c>
    </row>
    <row r="45" spans="1:3" x14ac:dyDescent="0.25">
      <c r="A45" s="9" t="s">
        <v>61</v>
      </c>
      <c r="B45" s="9" t="s">
        <v>30</v>
      </c>
      <c r="C45" s="5" t="s">
        <v>46</v>
      </c>
    </row>
    <row r="46" spans="1:3" x14ac:dyDescent="0.25">
      <c r="A46" s="9" t="s">
        <v>30</v>
      </c>
      <c r="B46" s="9" t="s">
        <v>31</v>
      </c>
      <c r="C46" s="5" t="s">
        <v>47</v>
      </c>
    </row>
    <row r="47" spans="1:3" x14ac:dyDescent="0.25">
      <c r="A47" s="9" t="s">
        <v>31</v>
      </c>
      <c r="B47" s="9" t="s">
        <v>66</v>
      </c>
      <c r="C47" s="5" t="s">
        <v>46</v>
      </c>
    </row>
    <row r="48" spans="1:3" x14ac:dyDescent="0.25">
      <c r="A48" s="9" t="s">
        <v>62</v>
      </c>
      <c r="B48" s="9" t="s">
        <v>32</v>
      </c>
      <c r="C48" s="5" t="s">
        <v>46</v>
      </c>
    </row>
    <row r="49" spans="1:3" x14ac:dyDescent="0.25">
      <c r="A49" s="9" t="s">
        <v>32</v>
      </c>
      <c r="B49" s="9" t="s">
        <v>33</v>
      </c>
      <c r="C49" s="5" t="s">
        <v>48</v>
      </c>
    </row>
    <row r="50" spans="1:3" x14ac:dyDescent="0.25">
      <c r="A50" s="9" t="s">
        <v>33</v>
      </c>
      <c r="B50" s="9" t="s">
        <v>68</v>
      </c>
      <c r="C50" s="5" t="s">
        <v>46</v>
      </c>
    </row>
    <row r="51" spans="1:3" x14ac:dyDescent="0.25">
      <c r="A51" s="9" t="s">
        <v>63</v>
      </c>
      <c r="B51" s="9" t="s">
        <v>34</v>
      </c>
      <c r="C51" s="5" t="s">
        <v>46</v>
      </c>
    </row>
    <row r="52" spans="1:3" x14ac:dyDescent="0.25">
      <c r="A52" s="9" t="s">
        <v>34</v>
      </c>
      <c r="B52" s="9" t="s">
        <v>35</v>
      </c>
      <c r="C52" s="5" t="s">
        <v>48</v>
      </c>
    </row>
    <row r="53" spans="1:3" x14ac:dyDescent="0.25">
      <c r="A53" s="9" t="s">
        <v>35</v>
      </c>
      <c r="B53" s="9" t="s">
        <v>67</v>
      </c>
      <c r="C53" s="5" t="s">
        <v>46</v>
      </c>
    </row>
    <row r="54" spans="1:3" x14ac:dyDescent="0.25">
      <c r="A54" s="9" t="s">
        <v>54</v>
      </c>
      <c r="B54" s="9" t="s">
        <v>36</v>
      </c>
      <c r="C54" s="5" t="s">
        <v>46</v>
      </c>
    </row>
    <row r="55" spans="1:3" x14ac:dyDescent="0.25">
      <c r="A55" s="9" t="s">
        <v>36</v>
      </c>
      <c r="B55" s="9" t="s">
        <v>37</v>
      </c>
      <c r="C55" s="5" t="s">
        <v>49</v>
      </c>
    </row>
    <row r="56" spans="1:3" x14ac:dyDescent="0.25">
      <c r="A56" s="9" t="s">
        <v>37</v>
      </c>
      <c r="B56" s="9" t="s">
        <v>63</v>
      </c>
      <c r="C56" s="5" t="s">
        <v>46</v>
      </c>
    </row>
    <row r="57" spans="1:3" x14ac:dyDescent="0.25">
      <c r="A57" s="9" t="s">
        <v>65</v>
      </c>
      <c r="B57" s="9" t="s">
        <v>38</v>
      </c>
      <c r="C57" s="5" t="s">
        <v>46</v>
      </c>
    </row>
    <row r="58" spans="1:3" x14ac:dyDescent="0.25">
      <c r="A58" s="9" t="s">
        <v>38</v>
      </c>
      <c r="B58" s="9" t="s">
        <v>39</v>
      </c>
      <c r="C58" s="5" t="s">
        <v>49</v>
      </c>
    </row>
    <row r="59" spans="1:3" x14ac:dyDescent="0.25">
      <c r="A59" s="9" t="s">
        <v>39</v>
      </c>
      <c r="B59" s="9" t="s">
        <v>67</v>
      </c>
      <c r="C59" s="5" t="s">
        <v>46</v>
      </c>
    </row>
    <row r="60" spans="1:3" x14ac:dyDescent="0.25">
      <c r="A60" s="9" t="s">
        <v>64</v>
      </c>
      <c r="B60" s="9" t="s">
        <v>40</v>
      </c>
      <c r="C60" s="5" t="s">
        <v>46</v>
      </c>
    </row>
    <row r="61" spans="1:3" x14ac:dyDescent="0.25">
      <c r="A61" s="9" t="s">
        <v>40</v>
      </c>
      <c r="B61" s="9" t="s">
        <v>41</v>
      </c>
      <c r="C61" s="5" t="s">
        <v>48</v>
      </c>
    </row>
    <row r="62" spans="1:3" x14ac:dyDescent="0.25">
      <c r="A62" s="9" t="s">
        <v>41</v>
      </c>
      <c r="B62" s="9" t="s">
        <v>68</v>
      </c>
      <c r="C62" s="5" t="s">
        <v>46</v>
      </c>
    </row>
    <row r="63" spans="1:3" x14ac:dyDescent="0.25">
      <c r="A63" s="9" t="s">
        <v>66</v>
      </c>
      <c r="B63" s="9" t="s">
        <v>42</v>
      </c>
      <c r="C63" s="5" t="s">
        <v>46</v>
      </c>
    </row>
    <row r="64" spans="1:3" x14ac:dyDescent="0.25">
      <c r="A64" s="9" t="s">
        <v>42</v>
      </c>
      <c r="B64" s="9" t="s">
        <v>43</v>
      </c>
      <c r="C64" s="5" t="s">
        <v>48</v>
      </c>
    </row>
    <row r="65" spans="1:3" x14ac:dyDescent="0.25">
      <c r="A65" s="9" t="s">
        <v>43</v>
      </c>
      <c r="B65" s="9" t="s">
        <v>67</v>
      </c>
      <c r="C65" s="5" t="s">
        <v>46</v>
      </c>
    </row>
    <row r="66" spans="1:3" x14ac:dyDescent="0.25">
      <c r="A66" s="9" t="s">
        <v>53</v>
      </c>
      <c r="B66" s="9" t="s">
        <v>66</v>
      </c>
      <c r="C66" s="5" t="s">
        <v>50</v>
      </c>
    </row>
    <row r="67" spans="1:3" x14ac:dyDescent="0.25">
      <c r="A67" s="9" t="s">
        <v>53</v>
      </c>
      <c r="B67" s="9" t="s">
        <v>65</v>
      </c>
      <c r="C67" s="5" t="s">
        <v>50</v>
      </c>
    </row>
    <row r="68" spans="1:3" x14ac:dyDescent="0.25">
      <c r="A68" s="9" t="s">
        <v>53</v>
      </c>
      <c r="B68" s="9" t="s">
        <v>61</v>
      </c>
      <c r="C68" s="5" t="s">
        <v>50</v>
      </c>
    </row>
    <row r="69" spans="1:3" x14ac:dyDescent="0.25">
      <c r="A69" s="9" t="s">
        <v>53</v>
      </c>
      <c r="B69" s="9" t="s">
        <v>59</v>
      </c>
      <c r="C69" s="5" t="s">
        <v>50</v>
      </c>
    </row>
    <row r="70" spans="1:3" x14ac:dyDescent="0.25">
      <c r="A70" s="9" t="s">
        <v>53</v>
      </c>
      <c r="B70" s="9" t="s">
        <v>64</v>
      </c>
      <c r="C70" s="5" t="s">
        <v>50</v>
      </c>
    </row>
    <row r="71" spans="1:3" x14ac:dyDescent="0.25">
      <c r="A71" s="9" t="s">
        <v>53</v>
      </c>
      <c r="B71" s="9" t="s">
        <v>62</v>
      </c>
      <c r="C71" s="5" t="s">
        <v>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B185-1F83-4370-8E37-DF46E9BBDDB5}">
  <dimension ref="A1:D206"/>
  <sheetViews>
    <sheetView workbookViewId="0">
      <selection activeCell="E23" sqref="E23"/>
    </sheetView>
  </sheetViews>
  <sheetFormatPr defaultRowHeight="15" x14ac:dyDescent="0.25"/>
  <cols>
    <col min="3" max="3" width="21.5703125" customWidth="1"/>
    <col min="4" max="4" width="24.85546875" customWidth="1"/>
  </cols>
  <sheetData>
    <row r="1" spans="1:4" x14ac:dyDescent="0.25">
      <c r="A1" s="2" t="s">
        <v>0</v>
      </c>
      <c r="B1" s="2" t="s">
        <v>1</v>
      </c>
      <c r="C1" s="2" t="s">
        <v>45</v>
      </c>
      <c r="D1" s="2" t="s">
        <v>44</v>
      </c>
    </row>
    <row r="2" spans="1:4" x14ac:dyDescent="0.25">
      <c r="A2" s="3">
        <v>0</v>
      </c>
      <c r="B2" s="3">
        <v>1</v>
      </c>
      <c r="C2" s="3" t="str">
        <f>COMPLEX(0.48507125,1.940285,"j")</f>
        <v>0.48507125+1.940285j</v>
      </c>
      <c r="D2" s="4" t="str">
        <f>COMPLEX(IMREAL(C2)/(20000^2/200000000),IMAGINARY(C2)/(20000^2/200000000))</f>
        <v>0.242535625+0.9701425i</v>
      </c>
    </row>
    <row r="3" spans="1:4" x14ac:dyDescent="0.25">
      <c r="A3" s="3" t="s">
        <v>2</v>
      </c>
      <c r="B3" s="3">
        <v>1</v>
      </c>
      <c r="C3" s="3" t="str">
        <f>COMPLEX(0,0,"j")</f>
        <v>0</v>
      </c>
      <c r="D3" s="4" t="str">
        <f t="shared" ref="D3:D66" si="0">COMPLEX(IMREAL(C3)/(20000^2/200000000),IMAGINARY(C3)/(20000^2/200000000))</f>
        <v>0</v>
      </c>
    </row>
    <row r="4" spans="1:4" x14ac:dyDescent="0.25">
      <c r="A4" s="3" t="s">
        <v>2</v>
      </c>
      <c r="B4" s="3" t="s">
        <v>3</v>
      </c>
      <c r="C4" s="3" t="str">
        <f>COMPLEX(1.9,4.6,"j")</f>
        <v>1.9+4.6j</v>
      </c>
      <c r="D4" s="4" t="str">
        <f t="shared" si="0"/>
        <v>0.95+2.3i</v>
      </c>
    </row>
    <row r="5" spans="1:4" x14ac:dyDescent="0.25">
      <c r="A5" s="3" t="s">
        <v>3</v>
      </c>
      <c r="B5" s="3">
        <v>2</v>
      </c>
      <c r="C5" s="3">
        <v>0</v>
      </c>
      <c r="D5" s="4" t="str">
        <f t="shared" si="0"/>
        <v>0</v>
      </c>
    </row>
    <row r="6" spans="1:4" x14ac:dyDescent="0.25">
      <c r="A6" s="3">
        <v>1</v>
      </c>
      <c r="B6" s="3" t="s">
        <v>4</v>
      </c>
      <c r="C6" s="3">
        <v>0</v>
      </c>
      <c r="D6" s="4" t="str">
        <f t="shared" si="0"/>
        <v>0</v>
      </c>
    </row>
    <row r="7" spans="1:4" x14ac:dyDescent="0.25">
      <c r="A7" s="3" t="s">
        <v>4</v>
      </c>
      <c r="B7" s="3" t="s">
        <v>5</v>
      </c>
      <c r="C7" s="3" t="str">
        <f>COMPLEX(1.9,4.6,"j")</f>
        <v>1.9+4.6j</v>
      </c>
      <c r="D7" s="4" t="str">
        <f t="shared" si="0"/>
        <v>0.95+2.3i</v>
      </c>
    </row>
    <row r="8" spans="1:4" x14ac:dyDescent="0.25">
      <c r="A8" s="3" t="s">
        <v>5</v>
      </c>
      <c r="B8" s="3">
        <v>3</v>
      </c>
      <c r="C8" s="3">
        <v>0</v>
      </c>
      <c r="D8" s="4" t="str">
        <f t="shared" si="0"/>
        <v>0</v>
      </c>
    </row>
    <row r="9" spans="1:4" x14ac:dyDescent="0.25">
      <c r="A9" s="3">
        <v>1</v>
      </c>
      <c r="B9" s="3" t="s">
        <v>6</v>
      </c>
      <c r="C9" s="3">
        <v>0</v>
      </c>
      <c r="D9" s="4" t="str">
        <f t="shared" si="0"/>
        <v>0</v>
      </c>
    </row>
    <row r="10" spans="1:4" x14ac:dyDescent="0.25">
      <c r="A10" s="3" t="s">
        <v>6</v>
      </c>
      <c r="B10" s="3" t="s">
        <v>7</v>
      </c>
      <c r="C10" s="3" t="str">
        <f>COMPLEX(2.85,6.9,"j")</f>
        <v>2.85+6.9j</v>
      </c>
      <c r="D10" s="4" t="str">
        <f t="shared" si="0"/>
        <v>1.425+3.45i</v>
      </c>
    </row>
    <row r="11" spans="1:4" x14ac:dyDescent="0.25">
      <c r="A11" s="3" t="s">
        <v>7</v>
      </c>
      <c r="B11" s="3">
        <v>4</v>
      </c>
      <c r="C11" s="3">
        <v>0</v>
      </c>
      <c r="D11" s="4" t="str">
        <f t="shared" si="0"/>
        <v>0</v>
      </c>
    </row>
    <row r="12" spans="1:4" x14ac:dyDescent="0.25">
      <c r="A12" s="3">
        <v>2</v>
      </c>
      <c r="B12" s="3" t="s">
        <v>8</v>
      </c>
      <c r="C12" s="3">
        <v>0</v>
      </c>
      <c r="D12" s="4" t="str">
        <f t="shared" si="0"/>
        <v>0</v>
      </c>
    </row>
    <row r="13" spans="1:4" x14ac:dyDescent="0.25">
      <c r="A13" s="3" t="s">
        <v>8</v>
      </c>
      <c r="B13" s="3" t="s">
        <v>9</v>
      </c>
      <c r="C13" s="3" t="str">
        <f>COMPLEX(1.9,4.6,"j")</f>
        <v>1.9+4.6j</v>
      </c>
      <c r="D13" s="4" t="str">
        <f t="shared" si="0"/>
        <v>0.95+2.3i</v>
      </c>
    </row>
    <row r="14" spans="1:4" x14ac:dyDescent="0.25">
      <c r="A14" s="3" t="s">
        <v>9</v>
      </c>
      <c r="B14" s="3">
        <v>5</v>
      </c>
      <c r="C14" s="3">
        <v>0</v>
      </c>
      <c r="D14" s="4" t="str">
        <f t="shared" si="0"/>
        <v>0</v>
      </c>
    </row>
    <row r="15" spans="1:4" x14ac:dyDescent="0.25">
      <c r="A15" s="3">
        <v>2</v>
      </c>
      <c r="B15" s="3" t="s">
        <v>10</v>
      </c>
      <c r="C15" s="3">
        <v>0</v>
      </c>
      <c r="D15" s="4" t="str">
        <f t="shared" si="0"/>
        <v>0</v>
      </c>
    </row>
    <row r="16" spans="1:4" x14ac:dyDescent="0.25">
      <c r="A16" s="3" t="s">
        <v>10</v>
      </c>
      <c r="B16" s="3" t="s">
        <v>11</v>
      </c>
      <c r="C16" s="3" t="str">
        <f>COMPLEX(3.8,9.2,"j")</f>
        <v>3.8+9.2j</v>
      </c>
      <c r="D16" s="4" t="e">
        <f>COMPLEX(IMREAL(C16)/(20000^2/200000000),IMAGINARY(C16)/(20000^2/200000000))</f>
        <v>#NUM!</v>
      </c>
    </row>
    <row r="17" spans="1:4" x14ac:dyDescent="0.25">
      <c r="A17" s="3" t="s">
        <v>11</v>
      </c>
      <c r="B17" s="3">
        <v>6</v>
      </c>
      <c r="C17" s="3">
        <v>0</v>
      </c>
      <c r="D17" s="4" t="str">
        <f t="shared" si="0"/>
        <v>0</v>
      </c>
    </row>
    <row r="18" spans="1:4" x14ac:dyDescent="0.25">
      <c r="A18" s="3">
        <v>3</v>
      </c>
      <c r="B18" s="3" t="s">
        <v>12</v>
      </c>
      <c r="C18" s="3">
        <v>0</v>
      </c>
      <c r="D18" s="4" t="str">
        <f t="shared" si="0"/>
        <v>0</v>
      </c>
    </row>
    <row r="19" spans="1:4" x14ac:dyDescent="0.25">
      <c r="A19" s="3" t="s">
        <v>12</v>
      </c>
      <c r="B19" s="3" t="s">
        <v>13</v>
      </c>
      <c r="C19" s="3" t="str">
        <f>COMPLEX(3.8,9.2,"j")</f>
        <v>3.8+9.2j</v>
      </c>
      <c r="D19" s="4" t="str">
        <f t="shared" si="0"/>
        <v>1.9+4.6i</v>
      </c>
    </row>
    <row r="20" spans="1:4" x14ac:dyDescent="0.25">
      <c r="A20" s="3" t="s">
        <v>13</v>
      </c>
      <c r="B20" s="3">
        <v>5</v>
      </c>
      <c r="C20" s="3">
        <v>0</v>
      </c>
      <c r="D20" s="4" t="str">
        <f t="shared" si="0"/>
        <v>0</v>
      </c>
    </row>
    <row r="21" spans="1:4" x14ac:dyDescent="0.25">
      <c r="A21" s="3">
        <v>3</v>
      </c>
      <c r="B21" s="3" t="s">
        <v>14</v>
      </c>
      <c r="C21" s="3">
        <v>0</v>
      </c>
      <c r="D21" s="4" t="str">
        <f t="shared" si="0"/>
        <v>0</v>
      </c>
    </row>
    <row r="22" spans="1:4" x14ac:dyDescent="0.25">
      <c r="A22" s="3" t="s">
        <v>14</v>
      </c>
      <c r="B22" s="3" t="s">
        <v>15</v>
      </c>
      <c r="C22" s="3" t="str">
        <f>COMPLEX(1.9,4.6,"j")</f>
        <v>1.9+4.6j</v>
      </c>
      <c r="D22" s="4" t="str">
        <f t="shared" si="0"/>
        <v>0.95+2.3i</v>
      </c>
    </row>
    <row r="23" spans="1:4" x14ac:dyDescent="0.25">
      <c r="A23" s="3" t="s">
        <v>15</v>
      </c>
      <c r="B23" s="3">
        <v>7</v>
      </c>
      <c r="C23" s="3">
        <v>0</v>
      </c>
      <c r="D23" s="4" t="str">
        <f t="shared" si="0"/>
        <v>0</v>
      </c>
    </row>
    <row r="24" spans="1:4" x14ac:dyDescent="0.25">
      <c r="A24" s="3">
        <v>4</v>
      </c>
      <c r="B24" s="3" t="s">
        <v>16</v>
      </c>
      <c r="C24" s="3">
        <v>0</v>
      </c>
      <c r="D24" s="4" t="str">
        <f t="shared" si="0"/>
        <v>0</v>
      </c>
    </row>
    <row r="25" spans="1:4" x14ac:dyDescent="0.25">
      <c r="A25" s="3" t="s">
        <v>16</v>
      </c>
      <c r="B25" s="3" t="s">
        <v>17</v>
      </c>
      <c r="C25" s="3" t="str">
        <f>COMPLEX(2.85,6.9,"j")</f>
        <v>2.85+6.9j</v>
      </c>
      <c r="D25" s="4" t="str">
        <f t="shared" si="0"/>
        <v>1.425+3.45i</v>
      </c>
    </row>
    <row r="26" spans="1:4" x14ac:dyDescent="0.25">
      <c r="A26" s="3" t="s">
        <v>17</v>
      </c>
      <c r="B26" s="3">
        <v>7</v>
      </c>
      <c r="C26" s="3">
        <v>0</v>
      </c>
      <c r="D26" s="4" t="str">
        <f t="shared" si="0"/>
        <v>0</v>
      </c>
    </row>
    <row r="27" spans="1:4" x14ac:dyDescent="0.25">
      <c r="A27" s="3">
        <v>4</v>
      </c>
      <c r="B27" s="3" t="s">
        <v>18</v>
      </c>
      <c r="C27" s="3">
        <v>0</v>
      </c>
      <c r="D27" s="4" t="str">
        <f t="shared" si="0"/>
        <v>0</v>
      </c>
    </row>
    <row r="28" spans="1:4" x14ac:dyDescent="0.25">
      <c r="A28" s="3" t="s">
        <v>18</v>
      </c>
      <c r="B28" s="3" t="s">
        <v>19</v>
      </c>
      <c r="C28" s="3" t="str">
        <f>COMPLEX(3.8,9.2,"j")</f>
        <v>3.8+9.2j</v>
      </c>
      <c r="D28" s="4" t="str">
        <f t="shared" si="0"/>
        <v>1.9+4.6i</v>
      </c>
    </row>
    <row r="29" spans="1:4" x14ac:dyDescent="0.25">
      <c r="A29" s="3" t="s">
        <v>19</v>
      </c>
      <c r="B29" s="3">
        <v>8</v>
      </c>
      <c r="C29" s="3">
        <v>0</v>
      </c>
      <c r="D29" s="4" t="str">
        <f t="shared" si="0"/>
        <v>0</v>
      </c>
    </row>
    <row r="30" spans="1:4" x14ac:dyDescent="0.25">
      <c r="A30" s="3">
        <v>5</v>
      </c>
      <c r="B30" s="3" t="s">
        <v>20</v>
      </c>
      <c r="C30" s="3">
        <v>0</v>
      </c>
      <c r="D30" s="4" t="str">
        <f t="shared" si="0"/>
        <v>0</v>
      </c>
    </row>
    <row r="31" spans="1:4" x14ac:dyDescent="0.25">
      <c r="A31" s="3" t="s">
        <v>20</v>
      </c>
      <c r="B31" s="3" t="s">
        <v>21</v>
      </c>
      <c r="C31" s="3" t="str">
        <f>COMPLEX(3.8,9.2,"j")</f>
        <v>3.8+9.2j</v>
      </c>
      <c r="D31" s="4" t="str">
        <f t="shared" si="0"/>
        <v>1.9+4.6i</v>
      </c>
    </row>
    <row r="32" spans="1:4" x14ac:dyDescent="0.25">
      <c r="A32" s="3" t="s">
        <v>21</v>
      </c>
      <c r="B32" s="3">
        <v>9</v>
      </c>
      <c r="C32" s="3">
        <v>0</v>
      </c>
      <c r="D32" s="4" t="str">
        <f t="shared" si="0"/>
        <v>0</v>
      </c>
    </row>
    <row r="33" spans="1:4" x14ac:dyDescent="0.25">
      <c r="A33" s="3">
        <v>6</v>
      </c>
      <c r="B33" s="3" t="s">
        <v>22</v>
      </c>
      <c r="C33" s="3">
        <v>0</v>
      </c>
      <c r="D33" s="4" t="str">
        <f t="shared" si="0"/>
        <v>0</v>
      </c>
    </row>
    <row r="34" spans="1:4" x14ac:dyDescent="0.25">
      <c r="A34" s="3" t="s">
        <v>22</v>
      </c>
      <c r="B34" s="3" t="s">
        <v>23</v>
      </c>
      <c r="C34" s="3" t="str">
        <f>COMPLEX(1.9,4.6,"j")</f>
        <v>1.9+4.6j</v>
      </c>
      <c r="D34" s="4" t="str">
        <f t="shared" si="0"/>
        <v>0.95+2.3i</v>
      </c>
    </row>
    <row r="35" spans="1:4" x14ac:dyDescent="0.25">
      <c r="A35" s="3" t="s">
        <v>23</v>
      </c>
      <c r="B35" s="3">
        <v>10</v>
      </c>
      <c r="C35" s="3">
        <v>0</v>
      </c>
      <c r="D35" s="4" t="str">
        <f t="shared" si="0"/>
        <v>0</v>
      </c>
    </row>
    <row r="36" spans="1:4" x14ac:dyDescent="0.25">
      <c r="A36" s="3">
        <v>6</v>
      </c>
      <c r="B36" s="3" t="s">
        <v>24</v>
      </c>
      <c r="C36" s="3">
        <v>0</v>
      </c>
      <c r="D36" s="4" t="str">
        <f t="shared" si="0"/>
        <v>0</v>
      </c>
    </row>
    <row r="37" spans="1:4" x14ac:dyDescent="0.25">
      <c r="A37" s="3" t="s">
        <v>24</v>
      </c>
      <c r="B37" s="3" t="s">
        <v>25</v>
      </c>
      <c r="C37" s="3" t="str">
        <f>COMPLEX(2.85,6.9,"j")</f>
        <v>2.85+6.9j</v>
      </c>
      <c r="D37" s="4" t="str">
        <f t="shared" si="0"/>
        <v>1.425+3.45i</v>
      </c>
    </row>
    <row r="38" spans="1:4" x14ac:dyDescent="0.25">
      <c r="A38" s="3" t="s">
        <v>25</v>
      </c>
      <c r="B38" s="3">
        <v>11</v>
      </c>
      <c r="C38" s="3">
        <v>0</v>
      </c>
      <c r="D38" s="4" t="str">
        <f t="shared" si="0"/>
        <v>0</v>
      </c>
    </row>
    <row r="39" spans="1:4" x14ac:dyDescent="0.25">
      <c r="A39" s="3">
        <v>7</v>
      </c>
      <c r="B39" s="3" t="s">
        <v>26</v>
      </c>
      <c r="C39" s="3">
        <v>0</v>
      </c>
      <c r="D39" s="4" t="str">
        <f t="shared" si="0"/>
        <v>0</v>
      </c>
    </row>
    <row r="40" spans="1:4" x14ac:dyDescent="0.25">
      <c r="A40" s="3" t="s">
        <v>26</v>
      </c>
      <c r="B40" s="3" t="s">
        <v>27</v>
      </c>
      <c r="C40" s="3" t="str">
        <f>COMPLEX(2.85,6.9,"j")</f>
        <v>2.85+6.9j</v>
      </c>
      <c r="D40" s="4" t="str">
        <f t="shared" si="0"/>
        <v>1.425+3.45i</v>
      </c>
    </row>
    <row r="41" spans="1:4" x14ac:dyDescent="0.25">
      <c r="A41" s="3" t="s">
        <v>27</v>
      </c>
      <c r="B41" s="3">
        <v>12</v>
      </c>
      <c r="C41" s="3">
        <v>0</v>
      </c>
      <c r="D41" s="4" t="str">
        <f t="shared" si="0"/>
        <v>0</v>
      </c>
    </row>
    <row r="42" spans="1:4" x14ac:dyDescent="0.25">
      <c r="A42" s="3">
        <v>8</v>
      </c>
      <c r="B42" s="3" t="s">
        <v>28</v>
      </c>
      <c r="C42" s="3">
        <v>0</v>
      </c>
      <c r="D42" s="4" t="str">
        <f t="shared" si="0"/>
        <v>0</v>
      </c>
    </row>
    <row r="43" spans="1:4" x14ac:dyDescent="0.25">
      <c r="A43" s="3" t="s">
        <v>28</v>
      </c>
      <c r="B43" s="3" t="s">
        <v>29</v>
      </c>
      <c r="C43" s="3" t="str">
        <f>COMPLEX(1.9,4.6,"j")</f>
        <v>1.9+4.6j</v>
      </c>
      <c r="D43" s="4" t="str">
        <f t="shared" si="0"/>
        <v>0.95+2.3i</v>
      </c>
    </row>
    <row r="44" spans="1:4" x14ac:dyDescent="0.25">
      <c r="A44" s="3" t="s">
        <v>29</v>
      </c>
      <c r="B44" s="3">
        <v>10</v>
      </c>
      <c r="C44" s="3">
        <v>0</v>
      </c>
      <c r="D44" s="4" t="str">
        <f t="shared" si="0"/>
        <v>0</v>
      </c>
    </row>
    <row r="45" spans="1:4" x14ac:dyDescent="0.25">
      <c r="A45" s="3">
        <v>8</v>
      </c>
      <c r="B45" s="3" t="s">
        <v>30</v>
      </c>
      <c r="C45" s="3">
        <v>0</v>
      </c>
      <c r="D45" s="4" t="str">
        <f t="shared" si="0"/>
        <v>0</v>
      </c>
    </row>
    <row r="46" spans="1:4" x14ac:dyDescent="0.25">
      <c r="A46" s="3" t="s">
        <v>30</v>
      </c>
      <c r="B46" s="3" t="s">
        <v>31</v>
      </c>
      <c r="C46" s="3" t="str">
        <f>COMPLEX(3.8,9.2,"j")</f>
        <v>3.8+9.2j</v>
      </c>
      <c r="D46" s="4" t="str">
        <f t="shared" si="0"/>
        <v>1.9+4.6i</v>
      </c>
    </row>
    <row r="47" spans="1:4" x14ac:dyDescent="0.25">
      <c r="A47" s="3" t="s">
        <v>31</v>
      </c>
      <c r="B47" s="3">
        <v>13</v>
      </c>
      <c r="C47" s="3">
        <v>0</v>
      </c>
      <c r="D47" s="4" t="str">
        <f t="shared" si="0"/>
        <v>0</v>
      </c>
    </row>
    <row r="48" spans="1:4" x14ac:dyDescent="0.25">
      <c r="A48" s="3">
        <v>9</v>
      </c>
      <c r="B48" s="3" t="s">
        <v>32</v>
      </c>
      <c r="C48" s="3">
        <v>0</v>
      </c>
      <c r="D48" s="4" t="str">
        <f t="shared" si="0"/>
        <v>0</v>
      </c>
    </row>
    <row r="49" spans="1:4" x14ac:dyDescent="0.25">
      <c r="A49" s="3" t="s">
        <v>32</v>
      </c>
      <c r="B49" s="3" t="s">
        <v>33</v>
      </c>
      <c r="C49" s="3" t="str">
        <f>COMPLEX(1.9,4.6,"j")</f>
        <v>1.9+4.6j</v>
      </c>
      <c r="D49" s="4" t="str">
        <f t="shared" si="0"/>
        <v>0.95+2.3i</v>
      </c>
    </row>
    <row r="50" spans="1:4" x14ac:dyDescent="0.25">
      <c r="A50" s="3" t="s">
        <v>33</v>
      </c>
      <c r="B50" s="3">
        <v>14</v>
      </c>
      <c r="C50" s="3">
        <v>0</v>
      </c>
      <c r="D50" s="4" t="str">
        <f t="shared" si="0"/>
        <v>0</v>
      </c>
    </row>
    <row r="51" spans="1:4" x14ac:dyDescent="0.25">
      <c r="A51" s="3">
        <v>10</v>
      </c>
      <c r="B51" s="3" t="s">
        <v>34</v>
      </c>
      <c r="C51" s="3">
        <v>0</v>
      </c>
      <c r="D51" s="4" t="str">
        <f t="shared" si="0"/>
        <v>0</v>
      </c>
    </row>
    <row r="52" spans="1:4" x14ac:dyDescent="0.25">
      <c r="A52" s="3" t="s">
        <v>34</v>
      </c>
      <c r="B52" s="3" t="s">
        <v>35</v>
      </c>
      <c r="C52" s="3" t="str">
        <f>COMPLEX(1.9,4.6,"j")</f>
        <v>1.9+4.6j</v>
      </c>
      <c r="D52" s="4" t="str">
        <f t="shared" si="0"/>
        <v>0.95+2.3i</v>
      </c>
    </row>
    <row r="53" spans="1:4" x14ac:dyDescent="0.25">
      <c r="A53" s="3" t="s">
        <v>35</v>
      </c>
      <c r="B53" s="3">
        <v>15</v>
      </c>
      <c r="C53" s="3">
        <v>0</v>
      </c>
      <c r="D53" s="4" t="str">
        <f t="shared" si="0"/>
        <v>0</v>
      </c>
    </row>
    <row r="54" spans="1:4" x14ac:dyDescent="0.25">
      <c r="A54" s="3">
        <v>1</v>
      </c>
      <c r="B54" s="3" t="s">
        <v>36</v>
      </c>
      <c r="C54" s="3">
        <v>0</v>
      </c>
      <c r="D54" s="4" t="str">
        <f t="shared" si="0"/>
        <v>0</v>
      </c>
    </row>
    <row r="55" spans="1:4" x14ac:dyDescent="0.25">
      <c r="A55" s="3" t="s">
        <v>36</v>
      </c>
      <c r="B55" s="3" t="s">
        <v>37</v>
      </c>
      <c r="C55" s="3" t="str">
        <f>COMPLEX(2.85,6.9,"j")</f>
        <v>2.85+6.9j</v>
      </c>
      <c r="D55" s="4" t="str">
        <f t="shared" si="0"/>
        <v>1.425+3.45i</v>
      </c>
    </row>
    <row r="56" spans="1:4" x14ac:dyDescent="0.25">
      <c r="A56" s="3" t="s">
        <v>37</v>
      </c>
      <c r="B56" s="3">
        <v>10</v>
      </c>
      <c r="C56" s="3">
        <v>0</v>
      </c>
      <c r="D56" s="4" t="str">
        <f t="shared" si="0"/>
        <v>0</v>
      </c>
    </row>
    <row r="57" spans="1:4" x14ac:dyDescent="0.25">
      <c r="A57" s="3">
        <v>11</v>
      </c>
      <c r="B57" s="3" t="s">
        <v>38</v>
      </c>
      <c r="C57" s="3">
        <v>0</v>
      </c>
      <c r="D57" s="4" t="str">
        <f t="shared" si="0"/>
        <v>0</v>
      </c>
    </row>
    <row r="58" spans="1:4" x14ac:dyDescent="0.25">
      <c r="A58" s="3" t="s">
        <v>38</v>
      </c>
      <c r="B58" s="3" t="s">
        <v>39</v>
      </c>
      <c r="C58" s="3" t="str">
        <f>COMPLEX(2.85,6.9,"j")</f>
        <v>2.85+6.9j</v>
      </c>
      <c r="D58" s="4" t="str">
        <f t="shared" si="0"/>
        <v>1.425+3.45i</v>
      </c>
    </row>
    <row r="59" spans="1:4" x14ac:dyDescent="0.25">
      <c r="A59" s="3" t="s">
        <v>39</v>
      </c>
      <c r="B59" s="3">
        <v>15</v>
      </c>
      <c r="C59" s="3">
        <v>0</v>
      </c>
      <c r="D59" s="4" t="str">
        <f t="shared" si="0"/>
        <v>0</v>
      </c>
    </row>
    <row r="60" spans="1:4" x14ac:dyDescent="0.25">
      <c r="A60" s="3">
        <v>12</v>
      </c>
      <c r="B60" s="3" t="s">
        <v>40</v>
      </c>
      <c r="C60" s="3">
        <v>0</v>
      </c>
      <c r="D60" s="4" t="str">
        <f t="shared" si="0"/>
        <v>0</v>
      </c>
    </row>
    <row r="61" spans="1:4" x14ac:dyDescent="0.25">
      <c r="A61" s="3" t="s">
        <v>40</v>
      </c>
      <c r="B61" s="3" t="s">
        <v>41</v>
      </c>
      <c r="C61" s="3" t="str">
        <f>COMPLEX(1.9,4.6,"j")</f>
        <v>1.9+4.6j</v>
      </c>
      <c r="D61" s="4" t="str">
        <f t="shared" si="0"/>
        <v>0.95+2.3i</v>
      </c>
    </row>
    <row r="62" spans="1:4" x14ac:dyDescent="0.25">
      <c r="A62" s="3" t="s">
        <v>41</v>
      </c>
      <c r="B62" s="3">
        <v>14</v>
      </c>
      <c r="C62" s="3">
        <v>0</v>
      </c>
      <c r="D62" s="4" t="str">
        <f t="shared" si="0"/>
        <v>0</v>
      </c>
    </row>
    <row r="63" spans="1:4" x14ac:dyDescent="0.25">
      <c r="A63" s="3">
        <v>13</v>
      </c>
      <c r="B63" s="3" t="s">
        <v>42</v>
      </c>
      <c r="C63" s="3">
        <v>0</v>
      </c>
      <c r="D63" s="4" t="str">
        <f t="shared" si="0"/>
        <v>0</v>
      </c>
    </row>
    <row r="64" spans="1:4" x14ac:dyDescent="0.25">
      <c r="A64" s="3" t="s">
        <v>42</v>
      </c>
      <c r="B64" s="3" t="s">
        <v>43</v>
      </c>
      <c r="C64" s="3" t="str">
        <f>COMPLEX(1.9,4.6,"j")</f>
        <v>1.9+4.6j</v>
      </c>
      <c r="D64" s="4" t="str">
        <f t="shared" si="0"/>
        <v>0.95+2.3i</v>
      </c>
    </row>
    <row r="65" spans="1:4" x14ac:dyDescent="0.25">
      <c r="A65" s="3" t="s">
        <v>43</v>
      </c>
      <c r="B65" s="3">
        <v>15</v>
      </c>
      <c r="C65" s="3">
        <v>0</v>
      </c>
      <c r="D65" s="4" t="str">
        <f t="shared" si="0"/>
        <v>0</v>
      </c>
    </row>
    <row r="66" spans="1:4" x14ac:dyDescent="0.25">
      <c r="A66" s="3">
        <v>0</v>
      </c>
      <c r="B66" s="3">
        <v>13</v>
      </c>
      <c r="C66" s="3" t="str">
        <f t="shared" ref="C66:C71" si="1">COMPLEX(0,4,"j")</f>
        <v>4j</v>
      </c>
      <c r="D66" s="4" t="str">
        <f t="shared" si="0"/>
        <v>2i</v>
      </c>
    </row>
    <row r="67" spans="1:4" x14ac:dyDescent="0.25">
      <c r="A67" s="3">
        <v>0</v>
      </c>
      <c r="B67" s="3">
        <v>11</v>
      </c>
      <c r="C67" s="3" t="str">
        <f t="shared" si="1"/>
        <v>4j</v>
      </c>
      <c r="D67" s="4" t="str">
        <f t="shared" ref="D67:D71" si="2">COMPLEX(IMREAL(C67)/(20000^2/200000000),IMAGINARY(C67)/(20000^2/200000000))</f>
        <v>2i</v>
      </c>
    </row>
    <row r="68" spans="1:4" x14ac:dyDescent="0.25">
      <c r="A68" s="3">
        <v>0</v>
      </c>
      <c r="B68" s="3">
        <v>8</v>
      </c>
      <c r="C68" s="3" t="str">
        <f t="shared" si="1"/>
        <v>4j</v>
      </c>
      <c r="D68" s="4" t="str">
        <f t="shared" si="2"/>
        <v>2i</v>
      </c>
    </row>
    <row r="69" spans="1:4" x14ac:dyDescent="0.25">
      <c r="A69" s="3">
        <v>0</v>
      </c>
      <c r="B69" s="3">
        <v>6</v>
      </c>
      <c r="C69" s="3" t="str">
        <f t="shared" si="1"/>
        <v>4j</v>
      </c>
      <c r="D69" s="4" t="str">
        <f t="shared" si="2"/>
        <v>2i</v>
      </c>
    </row>
    <row r="70" spans="1:4" x14ac:dyDescent="0.25">
      <c r="A70" s="3">
        <v>0</v>
      </c>
      <c r="B70" s="3">
        <v>12</v>
      </c>
      <c r="C70" s="3" t="str">
        <f t="shared" si="1"/>
        <v>4j</v>
      </c>
      <c r="D70" s="4" t="str">
        <f t="shared" si="2"/>
        <v>2i</v>
      </c>
    </row>
    <row r="71" spans="1:4" x14ac:dyDescent="0.25">
      <c r="A71" s="3">
        <v>0</v>
      </c>
      <c r="B71" s="3">
        <v>9</v>
      </c>
      <c r="C71" s="3" t="str">
        <f t="shared" si="1"/>
        <v>4j</v>
      </c>
      <c r="D71" s="4" t="str">
        <f t="shared" si="2"/>
        <v>2i</v>
      </c>
    </row>
    <row r="72" spans="1:4" x14ac:dyDescent="0.25">
      <c r="A72" s="1"/>
      <c r="B72" s="1"/>
      <c r="C72" s="1"/>
    </row>
    <row r="73" spans="1:4" x14ac:dyDescent="0.25">
      <c r="A73" s="1"/>
      <c r="B73" s="1"/>
      <c r="C73" s="1"/>
    </row>
    <row r="74" spans="1:4" x14ac:dyDescent="0.25">
      <c r="A74" s="1"/>
      <c r="B74" s="1"/>
      <c r="C74" s="1"/>
    </row>
    <row r="75" spans="1:4" x14ac:dyDescent="0.25">
      <c r="A75" s="1"/>
      <c r="B75" s="1"/>
      <c r="C75" s="1"/>
    </row>
    <row r="76" spans="1:4" x14ac:dyDescent="0.25">
      <c r="A76" s="1"/>
      <c r="B76" s="1"/>
      <c r="C76" s="1"/>
    </row>
    <row r="77" spans="1:4" x14ac:dyDescent="0.25">
      <c r="A77" s="1"/>
      <c r="B77" s="1"/>
      <c r="C77" s="1"/>
    </row>
    <row r="78" spans="1:4" x14ac:dyDescent="0.25">
      <c r="A78" s="1"/>
      <c r="B78" s="1"/>
      <c r="C78" s="1"/>
    </row>
    <row r="79" spans="1:4" x14ac:dyDescent="0.25">
      <c r="A79" s="1"/>
      <c r="B79" s="1"/>
      <c r="C79" s="1"/>
    </row>
    <row r="80" spans="1:4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Impedance_pu</vt:lpstr>
      <vt:lpstr>Impedance_ohm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Guilherme Hughes</cp:lastModifiedBy>
  <cp:lastPrinted>2019-09-19T17:03:28Z</cp:lastPrinted>
  <dcterms:created xsi:type="dcterms:W3CDTF">2019-09-17T16:34:09Z</dcterms:created>
  <dcterms:modified xsi:type="dcterms:W3CDTF">2019-10-07T14:05:04Z</dcterms:modified>
</cp:coreProperties>
</file>